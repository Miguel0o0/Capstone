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8\"/>
    </mc:Choice>
  </mc:AlternateContent>
  <xr:revisionPtr revIDLastSave="0" documentId="13_ncr:1_{392ACC69-2134-4CAB-A91D-95F39AF96D13}" xr6:coauthVersionLast="47" xr6:coauthVersionMax="47" xr10:uidLastSave="{00000000-0000-0000-0000-000000000000}"/>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<sst xmlns="http://schemas.openxmlformats.org/spreadsheetml/2006/main" count="85" uniqueCount="66">
  <si>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</si>
  <si>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</si>
  <si>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</si>
  <si>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</si>
  <si>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</si>
  <si>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</si>
  <si>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</si>
  <si>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</si>
  <si>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</si>
  <si>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</si>
  <si>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</si>
  <si>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</si>
  <si>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</si>
  <si>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</si>
  <si>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</si>
  <si>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</si>
  <si>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</si>
  <si>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</si>
  <si>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</si>
  <si>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</si>
  <si>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</si>
  <si>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</si>
  <si>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</si>
  <si>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</si>
  <si>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</si>
  <si>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</si>
  <si>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</si>
  <si>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</si>
  <si>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</si>
  <si>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</si>
  <si>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</si>
  <si>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</si>
  <si>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</si>
  <si>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</si>
  <si>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</si>
  <si>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</si>
  <si>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</si>
  <si>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</si>
  <si>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</si>
  <si>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</si>
  <si>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</si>
  <si>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</si>
  <si>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</si>
  <si>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</si>
  <si>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</si>
  <si>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</si>
  <si>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</si>
  <si>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</si>
  <si>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</si>
  <si>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</si>
  <si>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</si>
  <si>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</si>
  <si>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</si>
  <si>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</si>
  <si>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</si>
  <si>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</si>
  <si>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</si>
  <si>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</si>
  <si>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</si>
  <si>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</si>
  <si>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</si>
  <si>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</si>
  <si>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</si>
  <si>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</si>
  <si>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Miguel Medina</t>
  </si>
  <si>
    <t>William López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</si>
</sst>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8" sqref="F1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3" t="s">
        <v>9</v>
      </c>
    </row>
    <row r="4" spans="1:11">
      <c r="A4" s="4">
        <v>1</v>
      </c>
      <c r="B4" s="25" t="s">
        <v>64</v>
      </c>
      <c r="C4" s="5">
        <f>EVALUACION2!$C$22</f>
        <v>5.8</v>
      </c>
      <c r="G4" s="1"/>
    </row>
    <row r="5" spans="1:11">
      <c r="A5" s="4">
        <v>2</v>
      </c>
      <c r="B5" s="25" t="s">
        <v>65</v>
      </c>
      <c r="C5" s="5">
        <f>EVALUACION2!$C$22</f>
        <v>5.8</v>
      </c>
      <c r="G5" s="1"/>
    </row>
    <row r="6" spans="1:11">
      <c r="A6" s="4">
        <v>3</v>
      </c>
      <c r="B6" s="25"/>
      <c r="C6" s="5">
        <f>EVALUACION2!$C$22</f>
        <v>5.8</v>
      </c>
      <c r="G6" s="1"/>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63</v>
      </c>
      <c r="G15" s="15">
        <f>IF(F15="X",60*0.25,"")</f>
        <v>15</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63</v>
      </c>
      <c r="G19" s="15">
        <f>IF(F19="X",60*0.15,"")</f>
        <v>9</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84</v>
      </c>
      <c r="D21" s="16"/>
      <c r="E21" s="16">
        <f>SUM(E13:E20)</f>
        <v>60</v>
      </c>
      <c r="F21" s="16"/>
      <c r="G21" s="16">
        <f>SUM(G13:G20)</f>
        <v>24</v>
      </c>
      <c r="H21" s="16"/>
      <c r="I21" s="16">
        <f>SUM(I13:I20)</f>
        <v>0</v>
      </c>
      <c r="J21" s="16"/>
      <c r="K21" s="16">
        <f>SUM(K13:K20)</f>
        <v>0</v>
      </c>
    </row>
    <row r="22" spans="1:11" ht="15.75" customHeight="1" outlineLevel="1">
      <c r="A22" s="43"/>
      <c r="B22" s="30" t="s">
        <v>13</v>
      </c>
      <c r="C22" s="17">
        <f>VLOOKUP(C21,ESCALA_IEP!A2:B202,2,FALSE)</f>
        <v>5.8</v>
      </c>
    </row>
    <row r="23" spans="1:11" ht="15.75" customHeight="1">
      <c r="D23" t="s">
        <v>41</v>
      </c>
    </row>
    <row r="24" spans="1:11" ht="48" customHeight="1">
      <c r="B24" s="34"/>
    </row>
    <row r="25" spans="1:11" ht="15.75" customHeight="1">
      <c r="B25" s="18"/>
      <c r="C25" s="19"/>
    </row>
    <row r="26" spans="1:11" ht="31.1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Patricio</cp:lastModifiedBy>
  <dcterms:created xsi:type="dcterms:W3CDTF">2023-08-07T04:08:01Z</dcterms:created>
  <dcterms:modified xsi:type="dcterms:W3CDTF">2025-11-27T12:50:57Z</dcterms:modified>
</cp:coreProperties>
</file>